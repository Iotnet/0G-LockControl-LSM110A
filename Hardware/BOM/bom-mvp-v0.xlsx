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MVP v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<sst xmlns="http://schemas.openxmlformats.org/spreadsheetml/2006/main" count="189" uniqueCount="154">
  <si>
    <t xml:space="preserve">Bill of Materials (BOM) — MVP v0</t>
  </si>
  <si>
    <t xml:space="preserve">0G-LockControl-LSM110A  ·  0G IoT Solutions (previamente WND México)</t>
  </si>
  <si>
    <t xml:space="preserve">https://0giotsolutions.com/   |   Fecha: 2026-06-15   |   GitHub issue #4 - Verificar stock y precios de componentes en LCSC</t>
  </si>
  <si>
    <t xml:space="preserve">U4a/U4b comparten footprint: poblar SOLO uno. Precios/stock verificados en LCSC (salvo U1 y U4a).</t>
  </si>
  <si>
    <t xml:space="preserve">Ref</t>
  </si>
  <si>
    <t xml:space="preserve">Qty</t>
  </si>
  <si>
    <t xml:space="preserve">Tipo de componente</t>
  </si>
  <si>
    <t xml:space="preserve">Descripción</t>
  </si>
  <si>
    <t xml:space="preserve">MPN</t>
  </si>
  <si>
    <t xml:space="preserve">Fabricante</t>
  </si>
  <si>
    <t xml:space="preserve">LCSC#</t>
  </si>
  <si>
    <t xml:space="preserve">Basic/Ext</t>
  </si>
  <si>
    <t xml:space="preserve">Fuente</t>
  </si>
  <si>
    <t xml:space="preserve">Precio@100u (USD)</t>
  </si>
  <si>
    <t xml:space="preserve">Precio@1ku (USD)</t>
  </si>
  <si>
    <t xml:space="preserve">Stock</t>
  </si>
  <si>
    <t xml:space="preserve">Sustituto</t>
  </si>
  <si>
    <t xml:space="preserve">Link</t>
  </si>
  <si>
    <t xml:space="preserve">Notas</t>
  </si>
  <si>
    <t xml:space="preserve">Subtotal@100u</t>
  </si>
  <si>
    <t xml:space="preserve">Subtotal@1ku</t>
  </si>
  <si>
    <t xml:space="preserve">U1</t>
  </si>
  <si>
    <t xml:space="preserve">Módulo RF transceptor sub-GHz (Sigfox/LoRa)</t>
  </si>
  <si>
    <t xml:space="preserve">Módulo Sigfox/LoRa SiP</t>
  </si>
  <si>
    <t xml:space="preserve">LSM110A (WSLSM110A00)</t>
  </si>
  <si>
    <t xml:space="preserve">SJI / SeongJi Industrial</t>
  </si>
  <si>
    <t xml:space="preserve">—</t>
  </si>
  <si>
    <t xml:space="preserve">Extended</t>
  </si>
  <si>
    <t xml:space="preserve">GREATECH / Yadom / SJI</t>
  </si>
  <si>
    <t xml:space="preserve">rollo 500/1000</t>
  </si>
  <si>
    <t xml:space="preserve">https://www.greatech.de/store/p/seongji-lsm110a-sigfox-lorawan-module</t>
  </si>
  <si>
    <t xml:space="preserve">No en LCSC; hand-load. Precio GREATECH: ≥10u ≈€9.35/u; 500u=€3675 y 1000u=€7350 → €7.35/u (≈$7.94). @100u usa €9.35 (≈$10.10) conservador, tier-100 sin confirmar. Sigfox Partners/Yadom/ThingPark bloquean precio (login). Confirmar MOQ con SeongJi/GREATECH (EXW).</t>
  </si>
  <si>
    <t xml:space="preserve">U2</t>
  </si>
  <si>
    <t xml:space="preserve">Acelerómetro MEMS 3 ejes</t>
  </si>
  <si>
    <t xml:space="preserve">Acelerómetro digital ±2/4/8/16g, LGA-12</t>
  </si>
  <si>
    <t xml:space="preserve">LIS2DW12TR</t>
  </si>
  <si>
    <t xml:space="preserve">STMicroelectronics</t>
  </si>
  <si>
    <t xml:space="preserve">C189624</t>
  </si>
  <si>
    <t xml:space="preserve">LCSC</t>
  </si>
  <si>
    <t xml:space="preserve">29,551</t>
  </si>
  <si>
    <t xml:space="preserve">LIS2DH12TR</t>
  </si>
  <si>
    <t xml:space="preserve">https://www.lcsc.com/product-detail/C189624.html</t>
  </si>
  <si>
    <t xml:space="preserve">CORREGIDO: el C400557 del issue es un conector JILN, no el acelerómetro.</t>
  </si>
  <si>
    <t xml:space="preserve">U3</t>
  </si>
  <si>
    <t xml:space="preserve">Sensor de efecto Hall (switch omnipolar)</t>
  </si>
  <si>
    <t xml:space="preserve">Hall switch omnipolar 1.6µA, SOT-23</t>
  </si>
  <si>
    <t xml:space="preserve">DRV5032DUDBZR</t>
  </si>
  <si>
    <t xml:space="preserve">Texas Instruments</t>
  </si>
  <si>
    <t xml:space="preserve">C882721</t>
  </si>
  <si>
    <t xml:space="preserve">385 (bajo)</t>
  </si>
  <si>
    <t xml:space="preserve">DRV5032FCDBZR (C527532)</t>
  </si>
  <si>
    <t xml:space="preserve">https://www.lcsc.com/product-detail/C882721.html</t>
  </si>
  <si>
    <t xml:space="preserve">Stock LCSC bajo (385). Reservar carrete (3,000) para producción &gt;1k.</t>
  </si>
  <si>
    <t xml:space="preserve">U4a</t>
  </si>
  <si>
    <t xml:space="preserve">Regulador LDO nanopower 2.5V (config REGULADA - opcional)</t>
  </si>
  <si>
    <t xml:space="preserve">LDO 200mA, Iq 25nA, 2.5V, SOT-23-5</t>
  </si>
  <si>
    <t xml:space="preserve">TPS7A0225PDBVR</t>
  </si>
  <si>
    <t xml:space="preserve">Mouser / DigiKey</t>
  </si>
  <si>
    <t xml:space="preserve">~3,700 (Mouser)</t>
  </si>
  <si>
    <t xml:space="preserve">TPS7A0233PDBVR (C2887324, solo 3.3V)</t>
  </si>
  <si>
    <t xml:space="preserve">https://www.digikey.com/en/products/detail/texas-instruments/TPS7A0225PDBVR/12165218</t>
  </si>
  <si>
    <t xml:space="preserve">VENTAJA: riel 2.5V estable aunque la CR2450 caiga en el pulso TX. No en LCSC; hand-load. MPN del issue 'TPS7A0225DBVR' incorrecto (falta la 'P'). Poblar U4a O U4b, no ambos.</t>
  </si>
  <si>
    <t xml:space="preserve">U4b</t>
  </si>
  <si>
    <t xml:space="preserve">Jumper bypass 0Ω (config DIRECTA - default)</t>
  </si>
  <si>
    <t xml:space="preserve">Resistor 0Ω 0402 (jumper)</t>
  </si>
  <si>
    <t xml:space="preserve">0402WGF0000TCE</t>
  </si>
  <si>
    <t xml:space="preserve">UNI-ROYAL</t>
  </si>
  <si>
    <t xml:space="preserve">C17168</t>
  </si>
  <si>
    <t xml:space="preserve">Basic</t>
  </si>
  <si>
    <t xml:space="preserve">masivo</t>
  </si>
  <si>
    <t xml:space="preserve">https://www.lcsc.com/product-detail/C17168.html</t>
  </si>
  <si>
    <t xml:space="preserve">VENTAJA: máxima vida de batería (sin pérdida de headroom ni Iq del LDO), $0 setup fee. Default si pasa el GATE 2 (#6). Poblar U4a O U4b, no ambos.</t>
  </si>
  <si>
    <t xml:space="preserve">BAT1</t>
  </si>
  <si>
    <t xml:space="preserve">Portapilas / battery holder (electromecánico)</t>
  </si>
  <si>
    <t xml:space="preserve">Holder CR2450, SMD</t>
  </si>
  <si>
    <t xml:space="preserve">MY-2450-01</t>
  </si>
  <si>
    <t xml:space="preserve">MYOUNG</t>
  </si>
  <si>
    <t xml:space="preserve">C964845</t>
  </si>
  <si>
    <t xml:space="preserve">7,590</t>
  </si>
  <si>
    <t xml:space="preserve">Keystone (no en LCSC)</t>
  </si>
  <si>
    <t xml:space="preserve">https://www.lcsc.com/product-detail/C964845.html</t>
  </si>
  <si>
    <t xml:space="preserve">Equivalente Keystone no disponible en LCSC; MYOUNG es la opción real.</t>
  </si>
  <si>
    <t xml:space="preserve">C1-C10</t>
  </si>
  <si>
    <t xml:space="preserve">Capacitor cerámico MLCC (desacoplo)</t>
  </si>
  <si>
    <t xml:space="preserve">MLCC 100nF 0402 X7R 16V</t>
  </si>
  <si>
    <t xml:space="preserve">CL05B104KO5NNNC</t>
  </si>
  <si>
    <t xml:space="preserve">Samsung</t>
  </si>
  <si>
    <t xml:space="preserve">C1525</t>
  </si>
  <si>
    <t xml:space="preserve">C131394 (50V X7R, Extended)</t>
  </si>
  <si>
    <t xml:space="preserve">https://www.lcsc.com/product-detail/C1525.html</t>
  </si>
  <si>
    <t xml:space="preserve">16V suficiente para riel 3V (buen derating). El issue pedía 25V; si se exige ≥25V usar C131394 (50V, Extended).</t>
  </si>
  <si>
    <t xml:space="preserve">C11</t>
  </si>
  <si>
    <t xml:space="preserve">Capacitor cerámico MLCC</t>
  </si>
  <si>
    <t xml:space="preserve">MLCC 4.7µF 0603 X5R 16V</t>
  </si>
  <si>
    <t xml:space="preserve">CL10A475KO8NNNC</t>
  </si>
  <si>
    <t xml:space="preserve">C19666</t>
  </si>
  <si>
    <t xml:space="preserve">141,910</t>
  </si>
  <si>
    <t xml:space="preserve">https://www.lcsc.com/product-detail/C19666.html</t>
  </si>
  <si>
    <t xml:space="preserve">Dieléctrico real X5R (no X7R); adecuado para 3V.</t>
  </si>
  <si>
    <t xml:space="preserve">C_TX</t>
  </si>
  <si>
    <t xml:space="preserve">Capacitor de tántalo (bulk / soporte pulso TX)</t>
  </si>
  <si>
    <t xml:space="preserve">Tántalo 470µF 6.3V CASE-D low-ESR</t>
  </si>
  <si>
    <t xml:space="preserve">TAJD477K006RNJ</t>
  </si>
  <si>
    <t xml:space="preserve">KYOCERA AVX</t>
  </si>
  <si>
    <t xml:space="preserve">C7229</t>
  </si>
  <si>
    <t xml:space="preserve">8,046</t>
  </si>
  <si>
    <t xml:space="preserve">Polímero low-ESR (más caro)</t>
  </si>
  <si>
    <t xml:space="preserve">https://www.lcsc.com/product-detail/C7229.html</t>
  </si>
  <si>
    <t xml:space="preserve">ESR 400mΩ (estándar). Evaluar versión 10V por margen sobre 3V de batería.</t>
  </si>
  <si>
    <t xml:space="preserve">R1-R4 (10k)</t>
  </si>
  <si>
    <t xml:space="preserve">Resistor chip película gruesa</t>
  </si>
  <si>
    <t xml:space="preserve">Resistor 10kΩ 0402 1%</t>
  </si>
  <si>
    <t xml:space="preserve">0402WGF1002TCE</t>
  </si>
  <si>
    <t xml:space="preserve">C25744</t>
  </si>
  <si>
    <t xml:space="preserve">verificar</t>
  </si>
  <si>
    <t xml:space="preserve">C60490 (Yageo)</t>
  </si>
  <si>
    <t xml:space="preserve">https://www.lcsc.com/product-detail/C25744.html</t>
  </si>
  <si>
    <t xml:space="preserve">Qty estimada (pull-ups/divisores). Confirmar contra esquemático final (ERC).</t>
  </si>
  <si>
    <t xml:space="preserve">R5-R7 (100k)</t>
  </si>
  <si>
    <t xml:space="preserve">Resistor 100kΩ 0402 1%</t>
  </si>
  <si>
    <t xml:space="preserve">RC0402FR-07100KL</t>
  </si>
  <si>
    <t xml:space="preserve">YAGEO</t>
  </si>
  <si>
    <t xml:space="preserve">C60491</t>
  </si>
  <si>
    <t xml:space="preserve">en stock</t>
  </si>
  <si>
    <t xml:space="preserve">https://www.lcsc.com/product-detail/C60491.html</t>
  </si>
  <si>
    <t xml:space="preserve">Qty estimada. Confirmar contra esquemático final (ERC).</t>
  </si>
  <si>
    <t xml:space="preserve">R8-R10 (1k)</t>
  </si>
  <si>
    <t xml:space="preserve">Resistor 1kΩ 0402 1%</t>
  </si>
  <si>
    <t xml:space="preserve">RC0402FR-071KL</t>
  </si>
  <si>
    <t xml:space="preserve">C106235</t>
  </si>
  <si>
    <t xml:space="preserve">8.9M</t>
  </si>
  <si>
    <t xml:space="preserve">https://www.lcsc.com/product-detail/C106235.html</t>
  </si>
  <si>
    <t xml:space="preserve">Qty estimada (serie LED + debug). Confirmar contra esquemático final (ERC).</t>
  </si>
  <si>
    <t xml:space="preserve">LED1</t>
  </si>
  <si>
    <t xml:space="preserve">Diodo emisor de luz (LED)</t>
  </si>
  <si>
    <t xml:space="preserve">LED verde 0603</t>
  </si>
  <si>
    <t xml:space="preserve">YLED0603G</t>
  </si>
  <si>
    <t xml:space="preserve">YONGYUTAI</t>
  </si>
  <si>
    <t xml:space="preserve">C19273151</t>
  </si>
  <si>
    <t xml:space="preserve">100,300</t>
  </si>
  <si>
    <t xml:space="preserve">https://www.lcsc.com/product-detail/C19273151.html</t>
  </si>
  <si>
    <t xml:space="preserve">CORREGIDO: el C72043 del issue está descontinuado (stock=1). Reemplazo verificado.</t>
  </si>
  <si>
    <t xml:space="preserve">RESUMEN DE COSTO (USD)</t>
  </si>
  <si>
    <t xml:space="preserve">@precio 100u</t>
  </si>
  <si>
    <t xml:space="preserve">@precio 1ku</t>
  </si>
  <si>
    <t xml:space="preserve">Componentes LCSC por placa (config default U4b, excl. módulo U1)</t>
  </si>
  <si>
    <t xml:space="preserve">Módulo LSM110A (U1) por placa — precio GREATECH, confirmar con distribuidor</t>
  </si>
  <si>
    <t xml:space="preserve">COSTO POR PLACA (1 unidad terminada, config directa 3V)</t>
  </si>
  <si>
    <t xml:space="preserve">TOTAL CORRIDA 100 placas  (= costo por placa @100u × 100)</t>
  </si>
  <si>
    <t xml:space="preserve">TOTAL CORRIDA 1000 placas (= costo por placa @1ku × 1000)</t>
  </si>
  <si>
    <t xml:space="preserve">Nota: @100u y @1ku son PRECIO UNITARIO al comprar en ese volumen (descuento). 'Por placa' ya multiplica por Qty. 'Corrida' = por placa × Nº de placas.</t>
  </si>
  <si>
    <t xml:space="preserve">Si se puebla el LDO regulado U4a en vez del 0Ω: sumar +$0.49 (@100u) / +$0.43 (@1ku) por placa.</t>
  </si>
  <si>
    <t xml:space="preserve">Setup fees JLCPCB SMT (one-time, no por placa): ~4 partes Extended ensamblables (U2, U3, BAT1, C_TX) × ~$3 = ~$12. U1 y U4a van hand-load (sin assembly).</t>
  </si>
  <si>
    <t xml:space="preserve">Módulo LSM110A (GREATECH): 500u=€3675 y 1000u=€7350 → €7.35/u (≈$7.94). Domina el costo; confirmar MOQ con SeongJi/GREATECH antes de presupuestar en firme.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</si>
</sst>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0;&quot;($&quot;#,##0.0000\);\-"/>
    <numFmt numFmtId="166" formatCode="\$#,##0.00;&quot;($&quot;#,##0.00\);\-"/>
    <numFmt numFmtId="167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reatech.de/store/p/seongji-lsm110a-sigfox-lorawan-module" TargetMode="External"/><Relationship Id="rId2" Type="http://schemas.openxmlformats.org/officeDocument/2006/relationships/hyperlink" Target="https://www.lcsc.com/product-detail/C189624.html" TargetMode="External"/><Relationship Id="rId3" Type="http://schemas.openxmlformats.org/officeDocument/2006/relationships/hyperlink" Target="https://www.lcsc.com/product-detail/C882721.html" TargetMode="External"/><Relationship Id="rId4" Type="http://schemas.openxmlformats.org/officeDocument/2006/relationships/hyperlink" Target="https://www.digikey.com/en/products/detail/texas-instruments/TPS7A0225PDBVR/12165218" TargetMode="External"/><Relationship Id="rId5" Type="http://schemas.openxmlformats.org/officeDocument/2006/relationships/hyperlink" Target="https://www.lcsc.com/product-detail/C17168.html" TargetMode="External"/><Relationship Id="rId6" Type="http://schemas.openxmlformats.org/officeDocument/2006/relationships/hyperlink" Target="https://www.lcsc.com/product-detail/C964845.html" TargetMode="External"/><Relationship Id="rId7" Type="http://schemas.openxmlformats.org/officeDocument/2006/relationships/hyperlink" Target="https://www.lcsc.com/product-detail/C1525.html" TargetMode="External"/><Relationship Id="rId8" Type="http://schemas.openxmlformats.org/officeDocument/2006/relationships/hyperlink" Target="https://www.lcsc.com/product-detail/C19666.html" TargetMode="External"/><Relationship Id="rId9" Type="http://schemas.openxmlformats.org/officeDocument/2006/relationships/hyperlink" Target="https://www.lcsc.com/product-detail/C7229.html" TargetMode="External"/><Relationship Id="rId10" Type="http://schemas.openxmlformats.org/officeDocument/2006/relationships/hyperlink" Target="https://www.lcsc.com/product-detail/C25744.html" TargetMode="External"/><Relationship Id="rId11" Type="http://schemas.openxmlformats.org/officeDocument/2006/relationships/hyperlink" Target="https://www.lcsc.com/product-detail/C60491.html" TargetMode="External"/><Relationship Id="rId12" Type="http://schemas.openxmlformats.org/officeDocument/2006/relationships/hyperlink" Target="https://www.lcsc.com/product-detail/C106235.html" TargetMode="External"/><Relationship Id="rId13" Type="http://schemas.openxmlformats.org/officeDocument/2006/relationships/hyperlink" Target="https://www.lcsc.com/product-detail/C1927315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1" min="10" style="0" width="15"/>
    <col collapsed="false" customWidth="true" hidden="false" outlineLevel="0" max="12" min="12" style="0" width="12"/>
    <col collapsed="false" customWidth="true" hidden="false" outlineLevel="0" max="13" min="13" style="0" width="24"/>
    <col collapsed="false" customWidth="true" hidden="false" outlineLevel="0" max="14" min="14" style="0" width="40"/>
    <col collapsed="false" customWidth="true" hidden="false" outlineLevel="0" max="15" min="15" style="0" width="50"/>
    <col collapsed="false" customWidth="true" hidden="false" outlineLevel="0" max="17" min="16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23.8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</row>
    <row r="7" customFormat="false" ht="53.7" hidden="false" customHeight="false" outlineLevel="0" collapsed="false">
      <c r="A7" s="5" t="s">
        <v>21</v>
      </c>
      <c r="B7" s="6" t="n">
        <v>1</v>
      </c>
      <c r="C7" s="7" t="s">
        <v>22</v>
      </c>
      <c r="D7" s="7" t="s">
        <v>23</v>
      </c>
      <c r="E7" s="5" t="s">
        <v>24</v>
      </c>
      <c r="F7" s="5" t="s">
        <v>25</v>
      </c>
      <c r="G7" s="5" t="s">
        <v>26</v>
      </c>
      <c r="H7" s="8" t="s">
        <v>27</v>
      </c>
      <c r="I7" s="5" t="s">
        <v>28</v>
      </c>
      <c r="J7" s="9" t="n">
        <v>10.1</v>
      </c>
      <c r="K7" s="9" t="n">
        <v>7.94</v>
      </c>
      <c r="L7" s="5" t="s">
        <v>29</v>
      </c>
      <c r="M7" s="5" t="s">
        <v>26</v>
      </c>
      <c r="N7" s="10" t="s">
        <v>30</v>
      </c>
      <c r="O7" s="7" t="s">
        <v>31</v>
      </c>
      <c r="P7" s="11" t="n">
        <f aca="false">IF(ISNUMBER(J7),B7*J7,"")</f>
        <v>10.1</v>
      </c>
      <c r="Q7" s="11" t="n">
        <f aca="false">IF(ISNUMBER(K7),B7*K7,"")</f>
        <v>7.94</v>
      </c>
    </row>
    <row r="8" customFormat="false" ht="22.35" hidden="false" customHeight="false" outlineLevel="0" collapsed="false">
      <c r="A8" s="5" t="s">
        <v>32</v>
      </c>
      <c r="B8" s="6" t="n">
        <v>1</v>
      </c>
      <c r="C8" s="7" t="s">
        <v>33</v>
      </c>
      <c r="D8" s="7" t="s">
        <v>34</v>
      </c>
      <c r="E8" s="5" t="s">
        <v>35</v>
      </c>
      <c r="F8" s="5" t="s">
        <v>36</v>
      </c>
      <c r="G8" s="5" t="s">
        <v>37</v>
      </c>
      <c r="H8" s="8" t="s">
        <v>27</v>
      </c>
      <c r="I8" s="5" t="s">
        <v>38</v>
      </c>
      <c r="J8" s="12" t="n">
        <v>0.7727</v>
      </c>
      <c r="K8" s="12" t="n">
        <v>0.7093</v>
      </c>
      <c r="L8" s="5" t="s">
        <v>39</v>
      </c>
      <c r="M8" s="5" t="s">
        <v>40</v>
      </c>
      <c r="N8" s="10" t="s">
        <v>41</v>
      </c>
      <c r="O8" s="7" t="s">
        <v>42</v>
      </c>
      <c r="P8" s="11" t="n">
        <f aca="false">IF(ISNUMBER(J8),B8*J8,"")</f>
        <v>0.7727</v>
      </c>
      <c r="Q8" s="11" t="n">
        <f aca="false">IF(ISNUMBER(K8),B8*K8,"")</f>
        <v>0.7093</v>
      </c>
    </row>
    <row r="9" customFormat="false" ht="22.35" hidden="false" customHeight="false" outlineLevel="0" collapsed="false">
      <c r="A9" s="5" t="s">
        <v>43</v>
      </c>
      <c r="B9" s="6" t="n">
        <v>1</v>
      </c>
      <c r="C9" s="7" t="s">
        <v>44</v>
      </c>
      <c r="D9" s="7" t="s">
        <v>45</v>
      </c>
      <c r="E9" s="5" t="s">
        <v>46</v>
      </c>
      <c r="F9" s="5" t="s">
        <v>47</v>
      </c>
      <c r="G9" s="5" t="s">
        <v>48</v>
      </c>
      <c r="H9" s="8" t="s">
        <v>27</v>
      </c>
      <c r="I9" s="5" t="s">
        <v>38</v>
      </c>
      <c r="J9" s="12" t="n">
        <v>0.22</v>
      </c>
      <c r="K9" s="12" t="n">
        <v>0.1599</v>
      </c>
      <c r="L9" s="5" t="s">
        <v>49</v>
      </c>
      <c r="M9" s="5" t="s">
        <v>50</v>
      </c>
      <c r="N9" s="10" t="s">
        <v>51</v>
      </c>
      <c r="O9" s="7" t="s">
        <v>52</v>
      </c>
      <c r="P9" s="11" t="n">
        <f aca="false">IF(ISNUMBER(J9),B9*J9,"")</f>
        <v>0.22</v>
      </c>
      <c r="Q9" s="11" t="n">
        <f aca="false">IF(ISNUMBER(K9),B9*K9,"")</f>
        <v>0.1599</v>
      </c>
    </row>
    <row r="10" customFormat="false" ht="32.8" hidden="false" customHeight="false" outlineLevel="0" collapsed="false">
      <c r="A10" s="5" t="s">
        <v>53</v>
      </c>
      <c r="B10" s="6" t="n">
        <v>0</v>
      </c>
      <c r="C10" s="7" t="s">
        <v>54</v>
      </c>
      <c r="D10" s="7" t="s">
        <v>55</v>
      </c>
      <c r="E10" s="5" t="s">
        <v>56</v>
      </c>
      <c r="F10" s="5" t="s">
        <v>47</v>
      </c>
      <c r="G10" s="5" t="s">
        <v>26</v>
      </c>
      <c r="H10" s="8" t="s">
        <v>27</v>
      </c>
      <c r="I10" s="5" t="s">
        <v>57</v>
      </c>
      <c r="J10" s="12" t="n">
        <v>0.49</v>
      </c>
      <c r="K10" s="12" t="n">
        <v>0.43</v>
      </c>
      <c r="L10" s="5" t="s">
        <v>58</v>
      </c>
      <c r="M10" s="5" t="s">
        <v>59</v>
      </c>
      <c r="N10" s="10" t="s">
        <v>60</v>
      </c>
      <c r="O10" s="7" t="s">
        <v>61</v>
      </c>
      <c r="P10" s="11" t="n">
        <f aca="false">IF(ISNUMBER(J10),B10*J10,"")</f>
        <v>0</v>
      </c>
      <c r="Q10" s="11" t="n">
        <f aca="false">IF(ISNUMBER(K10),B10*K10,"")</f>
        <v>0</v>
      </c>
    </row>
    <row r="11" customFormat="false" ht="32.8" hidden="false" customHeight="false" outlineLevel="0" collapsed="false">
      <c r="A11" s="5" t="s">
        <v>62</v>
      </c>
      <c r="B11" s="6" t="n">
        <v>1</v>
      </c>
      <c r="C11" s="7" t="s">
        <v>63</v>
      </c>
      <c r="D11" s="7" t="s">
        <v>64</v>
      </c>
      <c r="E11" s="5" t="s">
        <v>65</v>
      </c>
      <c r="F11" s="5" t="s">
        <v>66</v>
      </c>
      <c r="G11" s="5" t="s">
        <v>67</v>
      </c>
      <c r="H11" s="13" t="s">
        <v>68</v>
      </c>
      <c r="I11" s="5" t="s">
        <v>38</v>
      </c>
      <c r="J11" s="12" t="n">
        <v>0.0012</v>
      </c>
      <c r="K11" s="12" t="n">
        <v>0.001</v>
      </c>
      <c r="L11" s="5" t="s">
        <v>69</v>
      </c>
      <c r="M11" s="5" t="s">
        <v>26</v>
      </c>
      <c r="N11" s="10" t="s">
        <v>70</v>
      </c>
      <c r="O11" s="7" t="s">
        <v>71</v>
      </c>
      <c r="P11" s="11" t="n">
        <f aca="false">IF(ISNUMBER(J11),B11*J11,"")</f>
        <v>0.0012</v>
      </c>
      <c r="Q11" s="11" t="n">
        <f aca="false">IF(ISNUMBER(K11),B11*K11,"")</f>
        <v>0.001</v>
      </c>
    </row>
    <row r="12" customFormat="false" ht="22.35" hidden="false" customHeight="false" outlineLevel="0" collapsed="false">
      <c r="A12" s="5" t="s">
        <v>72</v>
      </c>
      <c r="B12" s="6" t="n">
        <v>1</v>
      </c>
      <c r="C12" s="7" t="s">
        <v>73</v>
      </c>
      <c r="D12" s="7" t="s">
        <v>74</v>
      </c>
      <c r="E12" s="5" t="s">
        <v>75</v>
      </c>
      <c r="F12" s="5" t="s">
        <v>76</v>
      </c>
      <c r="G12" s="5" t="s">
        <v>77</v>
      </c>
      <c r="H12" s="8" t="s">
        <v>27</v>
      </c>
      <c r="I12" s="5" t="s">
        <v>38</v>
      </c>
      <c r="J12" s="12" t="n">
        <v>0.1643</v>
      </c>
      <c r="K12" s="12" t="n">
        <v>0.1437</v>
      </c>
      <c r="L12" s="5" t="s">
        <v>78</v>
      </c>
      <c r="M12" s="5" t="s">
        <v>79</v>
      </c>
      <c r="N12" s="10" t="s">
        <v>80</v>
      </c>
      <c r="O12" s="7" t="s">
        <v>81</v>
      </c>
      <c r="P12" s="11" t="n">
        <f aca="false">IF(ISNUMBER(J12),B12*J12,"")</f>
        <v>0.1643</v>
      </c>
      <c r="Q12" s="11" t="n">
        <f aca="false">IF(ISNUMBER(K12),B12*K12,"")</f>
        <v>0.1437</v>
      </c>
    </row>
    <row r="13" customFormat="false" ht="22.35" hidden="false" customHeight="false" outlineLevel="0" collapsed="false">
      <c r="A13" s="5" t="s">
        <v>82</v>
      </c>
      <c r="B13" s="6" t="n">
        <v>10</v>
      </c>
      <c r="C13" s="7" t="s">
        <v>83</v>
      </c>
      <c r="D13" s="7" t="s">
        <v>84</v>
      </c>
      <c r="E13" s="5" t="s">
        <v>85</v>
      </c>
      <c r="F13" s="5" t="s">
        <v>86</v>
      </c>
      <c r="G13" s="5" t="s">
        <v>87</v>
      </c>
      <c r="H13" s="13" t="s">
        <v>68</v>
      </c>
      <c r="I13" s="5" t="s">
        <v>38</v>
      </c>
      <c r="J13" s="12" t="n">
        <v>0.0017</v>
      </c>
      <c r="K13" s="12" t="n">
        <v>0.0013</v>
      </c>
      <c r="L13" s="5" t="s">
        <v>69</v>
      </c>
      <c r="M13" s="5" t="s">
        <v>88</v>
      </c>
      <c r="N13" s="10" t="s">
        <v>89</v>
      </c>
      <c r="O13" s="7" t="s">
        <v>90</v>
      </c>
      <c r="P13" s="11" t="n">
        <f aca="false">IF(ISNUMBER(J13),B13*J13,"")</f>
        <v>0.017</v>
      </c>
      <c r="Q13" s="11" t="n">
        <f aca="false">IF(ISNUMBER(K13),B13*K13,"")</f>
        <v>0.013</v>
      </c>
    </row>
    <row r="14" customFormat="false" ht="15" hidden="false" customHeight="false" outlineLevel="0" collapsed="false">
      <c r="A14" s="5" t="s">
        <v>91</v>
      </c>
      <c r="B14" s="6" t="n">
        <v>1</v>
      </c>
      <c r="C14" s="7" t="s">
        <v>92</v>
      </c>
      <c r="D14" s="7" t="s">
        <v>93</v>
      </c>
      <c r="E14" s="5" t="s">
        <v>94</v>
      </c>
      <c r="F14" s="5" t="s">
        <v>86</v>
      </c>
      <c r="G14" s="5" t="s">
        <v>95</v>
      </c>
      <c r="H14" s="13" t="s">
        <v>68</v>
      </c>
      <c r="I14" s="5" t="s">
        <v>38</v>
      </c>
      <c r="J14" s="12" t="n">
        <v>0.0115</v>
      </c>
      <c r="K14" s="12" t="n">
        <v>0.0096</v>
      </c>
      <c r="L14" s="5" t="s">
        <v>96</v>
      </c>
      <c r="M14" s="5" t="s">
        <v>26</v>
      </c>
      <c r="N14" s="10" t="s">
        <v>97</v>
      </c>
      <c r="O14" s="7" t="s">
        <v>98</v>
      </c>
      <c r="P14" s="11" t="n">
        <f aca="false">IF(ISNUMBER(J14),B14*J14,"")</f>
        <v>0.0115</v>
      </c>
      <c r="Q14" s="11" t="n">
        <f aca="false">IF(ISNUMBER(K14),B14*K14,"")</f>
        <v>0.0096</v>
      </c>
    </row>
    <row r="15" customFormat="false" ht="22.35" hidden="false" customHeight="false" outlineLevel="0" collapsed="false">
      <c r="A15" s="5" t="s">
        <v>99</v>
      </c>
      <c r="B15" s="6" t="n">
        <v>1</v>
      </c>
      <c r="C15" s="7" t="s">
        <v>100</v>
      </c>
      <c r="D15" s="7" t="s">
        <v>101</v>
      </c>
      <c r="E15" s="5" t="s">
        <v>102</v>
      </c>
      <c r="F15" s="5" t="s">
        <v>103</v>
      </c>
      <c r="G15" s="5" t="s">
        <v>104</v>
      </c>
      <c r="H15" s="8" t="s">
        <v>27</v>
      </c>
      <c r="I15" s="5" t="s">
        <v>38</v>
      </c>
      <c r="J15" s="12" t="n">
        <v>0.8141</v>
      </c>
      <c r="K15" s="12" t="n">
        <v>0.6731</v>
      </c>
      <c r="L15" s="5" t="s">
        <v>105</v>
      </c>
      <c r="M15" s="5" t="s">
        <v>106</v>
      </c>
      <c r="N15" s="10" t="s">
        <v>107</v>
      </c>
      <c r="O15" s="7" t="s">
        <v>108</v>
      </c>
      <c r="P15" s="11" t="n">
        <f aca="false">IF(ISNUMBER(J15),B15*J15,"")</f>
        <v>0.8141</v>
      </c>
      <c r="Q15" s="11" t="n">
        <f aca="false">IF(ISNUMBER(K15),B15*K15,"")</f>
        <v>0.6731</v>
      </c>
    </row>
    <row r="16" customFormat="false" ht="22.35" hidden="false" customHeight="false" outlineLevel="0" collapsed="false">
      <c r="A16" s="5" t="s">
        <v>109</v>
      </c>
      <c r="B16" s="6" t="n">
        <v>4</v>
      </c>
      <c r="C16" s="7" t="s">
        <v>110</v>
      </c>
      <c r="D16" s="7" t="s">
        <v>111</v>
      </c>
      <c r="E16" s="5" t="s">
        <v>112</v>
      </c>
      <c r="F16" s="5" t="s">
        <v>66</v>
      </c>
      <c r="G16" s="5" t="s">
        <v>113</v>
      </c>
      <c r="H16" s="13" t="s">
        <v>68</v>
      </c>
      <c r="I16" s="5" t="s">
        <v>38</v>
      </c>
      <c r="J16" s="12" t="n">
        <v>0.0013</v>
      </c>
      <c r="K16" s="12" t="n">
        <v>0.0011</v>
      </c>
      <c r="L16" s="5" t="s">
        <v>114</v>
      </c>
      <c r="M16" s="5" t="s">
        <v>115</v>
      </c>
      <c r="N16" s="10" t="s">
        <v>116</v>
      </c>
      <c r="O16" s="7" t="s">
        <v>117</v>
      </c>
      <c r="P16" s="11" t="n">
        <f aca="false">IF(ISNUMBER(J16),B16*J16,"")</f>
        <v>0.0052</v>
      </c>
      <c r="Q16" s="11" t="n">
        <f aca="false">IF(ISNUMBER(K16),B16*K16,"")</f>
        <v>0.0044</v>
      </c>
    </row>
    <row r="17" customFormat="false" ht="15" hidden="false" customHeight="false" outlineLevel="0" collapsed="false">
      <c r="A17" s="5" t="s">
        <v>118</v>
      </c>
      <c r="B17" s="6" t="n">
        <v>3</v>
      </c>
      <c r="C17" s="7" t="s">
        <v>110</v>
      </c>
      <c r="D17" s="7" t="s">
        <v>119</v>
      </c>
      <c r="E17" s="5" t="s">
        <v>120</v>
      </c>
      <c r="F17" s="5" t="s">
        <v>121</v>
      </c>
      <c r="G17" s="5" t="s">
        <v>122</v>
      </c>
      <c r="H17" s="13" t="s">
        <v>68</v>
      </c>
      <c r="I17" s="5" t="s">
        <v>38</v>
      </c>
      <c r="J17" s="12" t="n">
        <v>0.0008</v>
      </c>
      <c r="K17" s="12" t="n">
        <v>0.0007</v>
      </c>
      <c r="L17" s="5" t="s">
        <v>123</v>
      </c>
      <c r="M17" s="5" t="s">
        <v>26</v>
      </c>
      <c r="N17" s="10" t="s">
        <v>124</v>
      </c>
      <c r="O17" s="7" t="s">
        <v>125</v>
      </c>
      <c r="P17" s="11" t="n">
        <f aca="false">IF(ISNUMBER(J17),B17*J17,"")</f>
        <v>0.0024</v>
      </c>
      <c r="Q17" s="11" t="n">
        <f aca="false">IF(ISNUMBER(K17),B17*K17,"")</f>
        <v>0.0021</v>
      </c>
    </row>
    <row r="18" customFormat="false" ht="22.35" hidden="false" customHeight="false" outlineLevel="0" collapsed="false">
      <c r="A18" s="5" t="s">
        <v>126</v>
      </c>
      <c r="B18" s="6" t="n">
        <v>3</v>
      </c>
      <c r="C18" s="7" t="s">
        <v>110</v>
      </c>
      <c r="D18" s="7" t="s">
        <v>127</v>
      </c>
      <c r="E18" s="5" t="s">
        <v>128</v>
      </c>
      <c r="F18" s="5" t="s">
        <v>121</v>
      </c>
      <c r="G18" s="5" t="s">
        <v>129</v>
      </c>
      <c r="H18" s="13" t="s">
        <v>68</v>
      </c>
      <c r="I18" s="5" t="s">
        <v>38</v>
      </c>
      <c r="J18" s="12" t="n">
        <v>0.0009</v>
      </c>
      <c r="K18" s="12" t="n">
        <v>0.0007</v>
      </c>
      <c r="L18" s="5" t="s">
        <v>130</v>
      </c>
      <c r="M18" s="5" t="s">
        <v>26</v>
      </c>
      <c r="N18" s="10" t="s">
        <v>131</v>
      </c>
      <c r="O18" s="7" t="s">
        <v>132</v>
      </c>
      <c r="P18" s="11" t="n">
        <f aca="false">IF(ISNUMBER(J18),B18*J18,"")</f>
        <v>0.0027</v>
      </c>
      <c r="Q18" s="11" t="n">
        <f aca="false">IF(ISNUMBER(K18),B18*K18,"")</f>
        <v>0.0021</v>
      </c>
    </row>
    <row r="19" customFormat="false" ht="22.35" hidden="false" customHeight="false" outlineLevel="0" collapsed="false">
      <c r="A19" s="5" t="s">
        <v>133</v>
      </c>
      <c r="B19" s="6" t="n">
        <v>1</v>
      </c>
      <c r="C19" s="7" t="s">
        <v>134</v>
      </c>
      <c r="D19" s="7" t="s">
        <v>135</v>
      </c>
      <c r="E19" s="5" t="s">
        <v>136</v>
      </c>
      <c r="F19" s="5" t="s">
        <v>137</v>
      </c>
      <c r="G19" s="5" t="s">
        <v>138</v>
      </c>
      <c r="H19" s="13" t="s">
        <v>68</v>
      </c>
      <c r="I19" s="5" t="s">
        <v>38</v>
      </c>
      <c r="J19" s="12" t="n">
        <v>0.006</v>
      </c>
      <c r="K19" s="12" t="n">
        <v>0.005</v>
      </c>
      <c r="L19" s="5" t="s">
        <v>139</v>
      </c>
      <c r="M19" s="5" t="s">
        <v>26</v>
      </c>
      <c r="N19" s="10" t="s">
        <v>140</v>
      </c>
      <c r="O19" s="7" t="s">
        <v>141</v>
      </c>
      <c r="P19" s="11" t="n">
        <f aca="false">IF(ISNUMBER(J19),B19*J19,"")</f>
        <v>0.006</v>
      </c>
      <c r="Q19" s="11" t="n">
        <f aca="false">IF(ISNUMBER(K19),B19*K19,"")</f>
        <v>0.005</v>
      </c>
    </row>
    <row r="21" customFormat="false" ht="15" hidden="false" customHeight="false" outlineLevel="0" collapsed="false">
      <c r="A21" s="14" t="s">
        <v>142</v>
      </c>
      <c r="J21" s="15" t="s">
        <v>143</v>
      </c>
      <c r="K21" s="15" t="s">
        <v>144</v>
      </c>
    </row>
    <row r="22" customFormat="false" ht="15" hidden="false" customHeight="false" outlineLevel="0" collapsed="false">
      <c r="A22" s="16" t="s">
        <v>145</v>
      </c>
      <c r="J22" s="17" t="n">
        <f aca="false">SUM(P8:P19)</f>
        <v>2.0171</v>
      </c>
      <c r="K22" s="17" t="n">
        <f aca="false">SUM(Q8:Q19)</f>
        <v>1.7232</v>
      </c>
    </row>
    <row r="23" customFormat="false" ht="15" hidden="false" customHeight="false" outlineLevel="0" collapsed="false">
      <c r="A23" s="16" t="s">
        <v>146</v>
      </c>
      <c r="J23" s="17" t="n">
        <f aca="false">P7</f>
        <v>10.1</v>
      </c>
      <c r="K23" s="17" t="n">
        <f aca="false">Q7</f>
        <v>7.94</v>
      </c>
    </row>
    <row r="24" customFormat="false" ht="15" hidden="false" customHeight="false" outlineLevel="0" collapsed="false">
      <c r="A24" s="18" t="s">
        <v>147</v>
      </c>
      <c r="J24" s="19" t="n">
        <f aca="false">J22+J23</f>
        <v>12.1171</v>
      </c>
      <c r="K24" s="19" t="n">
        <f aca="false">K22+K23</f>
        <v>9.6632</v>
      </c>
    </row>
    <row r="25" customFormat="false" ht="15" hidden="false" customHeight="false" outlineLevel="0" collapsed="false">
      <c r="A25" s="20" t="s">
        <v>148</v>
      </c>
      <c r="J25" s="21" t="n">
        <f aca="false">J24*100</f>
        <v>1211.71</v>
      </c>
      <c r="K25" s="22"/>
    </row>
    <row r="26" customFormat="false" ht="15" hidden="false" customHeight="false" outlineLevel="0" collapsed="false">
      <c r="A26" s="20" t="s">
        <v>149</v>
      </c>
      <c r="J26" s="22"/>
      <c r="K26" s="21" t="n">
        <f aca="false">K24*1000</f>
        <v>9663.2</v>
      </c>
    </row>
    <row r="28" customFormat="false" ht="15" hidden="false" customHeight="false" outlineLevel="0" collapsed="false">
      <c r="A28" s="3" t="s">
        <v>150</v>
      </c>
    </row>
    <row r="29" customFormat="false" ht="15" hidden="false" customHeight="false" outlineLevel="0" collapsed="false">
      <c r="A29" s="3" t="s">
        <v>151</v>
      </c>
    </row>
    <row r="30" customFormat="false" ht="15" hidden="false" customHeight="false" outlineLevel="0" collapsed="false">
      <c r="A30" s="3" t="s">
        <v>152</v>
      </c>
    </row>
    <row r="31" customFormat="false" ht="15" hidden="false" customHeight="false" outlineLevel="0" collapsed="false">
      <c r="A31" s="3" t="s">
        <v>153</v>
      </c>
    </row>
  </sheetData>
  <hyperlinks>
    <hyperlink ref="N7" r:id="rId1" display="https://www.greatech.de/store/p/seongji-lsm110a-sigfox-lorawan-module"/>
    <hyperlink ref="N8" r:id="rId2" display="https://www.lcsc.com/product-detail/C189624.html"/>
    <hyperlink ref="N9" r:id="rId3" display="https://www.lcsc.com/product-detail/C882721.html"/>
    <hyperlink ref="N10" r:id="rId4" display="https://www.digikey.com/en/products/detail/texas-instruments/TPS7A0225PDBVR/12165218"/>
    <hyperlink ref="N11" r:id="rId5" display="https://www.lcsc.com/product-detail/C17168.html"/>
    <hyperlink ref="N12" r:id="rId6" display="https://www.lcsc.com/product-detail/C964845.html"/>
    <hyperlink ref="N13" r:id="rId7" display="https://www.lcsc.com/product-detail/C1525.html"/>
    <hyperlink ref="N14" r:id="rId8" display="https://www.lcsc.com/product-detail/C19666.html"/>
    <hyperlink ref="N15" r:id="rId9" display="https://www.lcsc.com/product-detail/C7229.html"/>
    <hyperlink ref="N16" r:id="rId10" display="https://www.lcsc.com/product-detail/C25744.html"/>
    <hyperlink ref="N17" r:id="rId11" display="https://www.lcsc.com/product-detail/C60491.html"/>
    <hyperlink ref="N18" r:id="rId12" display="https://www.lcsc.com/product-detail/C106235.html"/>
    <hyperlink ref="N19" r:id="rId13" display="https://www.lcsc.com/product-detail/C19273151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2026-06-15T18:13:28Z</dcterms:created>
  <dc:creator>openpyxl</dc:creator>
  <dc:description/>
  <dc:language>en-US</dc:language>
  <cp:lastModifiedBy/>
  <dcterms:modified xsi:type="dcterms:W3CDTF">2026-06-15T18:13:28Z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